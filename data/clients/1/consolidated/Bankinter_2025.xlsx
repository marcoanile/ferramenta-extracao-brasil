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60" yWindow="900" windowWidth="33600" windowHeight="193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_-* #,##0.00_-;\-* #,##0.00_-;_-* &quot;-&quot;??_-;_-@_-"/>
    <numFmt numFmtId="165" formatCode="_ * #,##0.00_)\ &quot;€&quot;_ ;_ * \(#,##0.00\)\ &quot;€&quot;_ ;_ * &quot;-&quot;??_)\ &quot;€&quot;_ ;_ @_ "/>
    <numFmt numFmtId="166" formatCode="_ * #,##0.00_)\ _€_ ;_ * \(#,##0.00\)\ _€_ ;_ * &quot;-&quot;??_)\ _€_ ;_ @_ "/>
    <numFmt numFmtId="167" formatCode="_-&quot;€&quot;* #,##0.00_-;\-&quot;€&quot;* #,##0.00_-;_-&quot;€&quot;* &quot;-&quot;??_-;_-@_-"/>
    <numFmt numFmtId="168" formatCode="DD/MM/YYYY"/>
    <numFmt numFmtId="169" formatCode="yyyy-mm-dd"/>
  </numFmts>
  <fonts count="10"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color indexed="8"/>
      <sz val="12"/>
    </font>
    <font>
      <name val="Calibri"/>
      <family val="2"/>
      <b val="1"/>
      <color theme="1"/>
      <sz val="12"/>
    </font>
    <font>
      <name val="Calibri"/>
      <family val="2"/>
      <color theme="1"/>
      <sz val="12"/>
    </font>
    <font>
      <name val="Calibri (Body)"/>
      <i val="1"/>
      <color theme="4"/>
      <sz val="12"/>
    </font>
    <font>
      <name val="Calibri (Body)"/>
      <b val="1"/>
      <color theme="5" tint="-0.249977111117893"/>
      <sz val="12"/>
    </font>
    <font>
      <name val="Calibri (Body)"/>
      <b val="1"/>
      <color theme="1"/>
      <sz val="16"/>
    </font>
    <font>
      <name val="Calibri"/>
      <family val="2"/>
      <i val="1"/>
      <color theme="1"/>
      <sz val="13"/>
      <scheme val="minor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3">
    <xf numFmtId="0" fontId="1" fillId="0" borderId="0"/>
    <xf numFmtId="43" fontId="1" fillId="0" borderId="0"/>
    <xf numFmtId="44" fontId="1" fillId="0" borderId="0"/>
  </cellStyleXfs>
  <cellXfs count="39">
    <xf numFmtId="0" fontId="0" fillId="0" borderId="0" pivotButton="0" quotePrefix="0" xfId="0"/>
    <xf numFmtId="164" fontId="2" fillId="0" borderId="0" applyAlignment="1" pivotButton="0" quotePrefix="0" xfId="0">
      <alignment horizontal="center" vertical="center" wrapText="1"/>
    </xf>
    <xf numFmtId="14" fontId="0" fillId="2" borderId="0" applyProtection="1" pivotButton="0" quotePrefix="0" xfId="0">
      <protection locked="0" hidden="0"/>
    </xf>
    <xf numFmtId="0" fontId="0" fillId="2" borderId="0" applyProtection="1" pivotButton="0" quotePrefix="0" xfId="0">
      <protection locked="0" hidden="0"/>
    </xf>
    <xf numFmtId="164" fontId="0" fillId="2" borderId="0" applyAlignment="1" applyProtection="1" pivotButton="0" quotePrefix="0" xfId="1">
      <alignment horizontal="right"/>
      <protection locked="0" hidden="0"/>
    </xf>
    <xf numFmtId="0" fontId="2" fillId="3" borderId="0" pivotButton="0" quotePrefix="0" xfId="0"/>
    <xf numFmtId="0" fontId="0" fillId="3" borderId="0" pivotButton="0" quotePrefix="0" xfId="0"/>
    <xf numFmtId="0" fontId="2" fillId="3" borderId="0" applyAlignment="1" pivotButton="0" quotePrefix="0" xfId="0">
      <alignment horizontal="center"/>
    </xf>
    <xf numFmtId="0" fontId="0" fillId="3" borderId="0" pivotButton="0" quotePrefix="0" xfId="0"/>
    <xf numFmtId="0" fontId="0" fillId="3" borderId="0" applyProtection="1" pivotButton="0" quotePrefix="0" xfId="0">
      <protection locked="0" hidden="0"/>
    </xf>
    <xf numFmtId="165" fontId="0" fillId="3" borderId="0" applyProtection="1" pivotButton="0" quotePrefix="0" xfId="0">
      <protection locked="0" hidden="0"/>
    </xf>
    <xf numFmtId="166" fontId="0" fillId="3" borderId="0" applyProtection="1" pivotButton="0" quotePrefix="0" xfId="0">
      <protection locked="0" hidden="0"/>
    </xf>
    <xf numFmtId="164" fontId="0" fillId="3" borderId="0" applyProtection="1" pivotButton="0" quotePrefix="0" xfId="0">
      <protection locked="0" hidden="0"/>
    </xf>
    <xf numFmtId="14" fontId="0" fillId="3" borderId="0" applyProtection="1" pivotButton="0" quotePrefix="0" xfId="0">
      <protection locked="0" hidden="0"/>
    </xf>
    <xf numFmtId="164" fontId="0" fillId="3" borderId="0" applyAlignment="1" applyProtection="1" pivotButton="0" quotePrefix="0" xfId="1">
      <alignment horizontal="right"/>
      <protection locked="0" hidden="0"/>
    </xf>
    <xf numFmtId="0" fontId="2" fillId="3" borderId="0" pivotButton="0" quotePrefix="0" xfId="0"/>
    <xf numFmtId="0" fontId="2" fillId="3" borderId="0" applyAlignment="1" pivotButton="0" quotePrefix="0" xfId="0">
      <alignment horizontal="right"/>
    </xf>
    <xf numFmtId="0" fontId="2" fillId="3" borderId="1" applyAlignment="1" pivotButton="0" quotePrefix="0" xfId="0">
      <alignment horizontal="center"/>
    </xf>
    <xf numFmtId="167" fontId="0" fillId="2" borderId="1" applyProtection="1" pivotButton="0" quotePrefix="0" xfId="2">
      <protection locked="0" hidden="0"/>
    </xf>
    <xf numFmtId="0" fontId="9" fillId="0" borderId="0" pivotButton="0" quotePrefix="0" xfId="0"/>
    <xf numFmtId="0" fontId="2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 vertical="top"/>
    </xf>
    <xf numFmtId="0" fontId="3" fillId="3" borderId="0" applyAlignment="1" pivotButton="0" quotePrefix="0" xfId="0">
      <alignment vertical="top" wrapText="1" readingOrder="1"/>
    </xf>
    <xf numFmtId="0" fontId="0" fillId="3" borderId="0" pivotButton="0" quotePrefix="0" xfId="0"/>
    <xf numFmtId="0" fontId="3" fillId="3" borderId="0" applyAlignment="1" pivotButton="0" quotePrefix="0" xfId="0">
      <alignment vertical="top" wrapText="1" readingOrder="1"/>
    </xf>
    <xf numFmtId="0" fontId="5" fillId="3" borderId="0" pivotButton="0" quotePrefix="0" xfId="0"/>
    <xf numFmtId="0" fontId="4" fillId="3" borderId="0" applyAlignment="1" pivotButton="0" quotePrefix="0" xfId="0">
      <alignment horizontal="right" vertical="top" wrapText="1" readingOrder="1"/>
    </xf>
    <xf numFmtId="164" fontId="2" fillId="0" borderId="0" applyAlignment="1" pivotButton="0" quotePrefix="0" xfId="0">
      <alignment horizontal="center" vertical="center" wrapText="1"/>
    </xf>
    <xf numFmtId="167" fontId="0" fillId="2" borderId="1" applyProtection="1" pivotButton="0" quotePrefix="0" xfId="2">
      <protection locked="0" hidden="0"/>
    </xf>
    <xf numFmtId="168" fontId="0" fillId="2" borderId="2" applyProtection="1" pivotButton="0" quotePrefix="0" xfId="0">
      <protection locked="0" hidden="0"/>
    </xf>
    <xf numFmtId="0" fontId="0" fillId="2" borderId="2" applyProtection="1" pivotButton="0" quotePrefix="0" xfId="0">
      <protection locked="0" hidden="0"/>
    </xf>
    <xf numFmtId="4" fontId="0" fillId="2" borderId="2" applyAlignment="1" applyProtection="1" pivotButton="0" quotePrefix="0" xfId="1">
      <alignment horizontal="right"/>
      <protection locked="0" hidden="0"/>
    </xf>
    <xf numFmtId="164" fontId="0" fillId="3" borderId="0" applyProtection="1" pivotButton="0" quotePrefix="0" xfId="0">
      <protection locked="0" hidden="0"/>
    </xf>
    <xf numFmtId="168" fontId="0" fillId="0" borderId="2" pivotButton="0" quotePrefix="0" xfId="0"/>
    <xf numFmtId="0" fontId="0" fillId="0" borderId="2" pivotButton="0" quotePrefix="0" xfId="0"/>
    <xf numFmtId="4" fontId="0" fillId="3" borderId="2" applyAlignment="1" applyProtection="1" pivotButton="0" quotePrefix="0" xfId="1">
      <alignment horizontal="right"/>
      <protection locked="0" hidden="0"/>
    </xf>
    <xf numFmtId="165" fontId="0" fillId="3" borderId="0" applyProtection="1" pivotButton="0" quotePrefix="0" xfId="0">
      <protection locked="0" hidden="0"/>
    </xf>
    <xf numFmtId="166" fontId="0" fillId="3" borderId="0" applyProtection="1" pivotButton="0" quotePrefix="0" xfId="0">
      <protection locked="0" hidden="0"/>
    </xf>
    <xf numFmtId="4" fontId="0" fillId="0" borderId="2" pivotButton="0" quotePrefix="0" xfId="0"/>
  </cellXfs>
  <cellStyles count="3">
    <cellStyle name="Normal" xfId="0" builtinId="0"/>
    <cellStyle name="Comma" xfId="1" builtinId="3"/>
    <cellStyle name="Currency" xfId="2" builtinId="4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"/>
  <sheetViews>
    <sheetView tabSelected="1" workbookViewId="0">
      <selection activeCell="C16" sqref="C16"/>
    </sheetView>
  </sheetViews>
  <sheetFormatPr baseColWidth="10" defaultRowHeight="16"/>
  <cols>
    <col width="12.6640625" customWidth="1" style="13" min="1" max="1"/>
    <col width="10.83203125" customWidth="1" style="13" min="2" max="2"/>
    <col width="61" bestFit="1" customWidth="1" style="9" min="3" max="3"/>
    <col width="17" customWidth="1" style="9" min="4" max="4"/>
    <col width="44.33203125" customWidth="1" style="9" min="5" max="5"/>
    <col width="12.1640625" bestFit="1" customWidth="1" style="9" min="6" max="6"/>
    <col width="10.83203125" customWidth="1" style="9" min="7" max="7"/>
    <col width="12.1640625" bestFit="1" customWidth="1" style="9" min="8" max="8"/>
    <col width="10.83203125" customWidth="1" style="9" min="9" max="21"/>
    <col width="10.83203125" customWidth="1" style="23" min="22" max="16384"/>
  </cols>
  <sheetData>
    <row r="1" ht="100" customHeight="1">
      <c r="A1" s="20" t="inlineStr">
        <is>
          <t>TOCONLINE MODELO DE IMPORTAÇÃO DE EXTRATOS 
Apenas recomendamos a utilização deste modelo de importação se não conseguir o ficheiro no formato oficial do banco (.xls ou .csv) e se não tiver associação direta da conta bancária.
Preencha apenas a informação que consta nas células em amarelo e não é permitido alterar a estrutura do ficheiro nem a formatação das células.</t>
        </is>
      </c>
      <c r="E1" s="27">
        <f>+IF((ROUND(D3+SUM($D$8:$D$1048576),2)=ROUND(D5,2))=TRUE,"Saldos e movimentos validados- os saldos inicial e final são coerentes com os movimentos inseridos","Saldos e movimentos inválidos - os saldos inicial e final não são coerentes com os movimentos inseridos")</f>
        <v/>
      </c>
      <c r="F1" s="23" t="n"/>
      <c r="G1" s="23" t="n"/>
      <c r="H1" s="23" t="n"/>
      <c r="I1" s="23" t="n"/>
      <c r="J1" s="23" t="n"/>
      <c r="K1" s="23" t="n"/>
      <c r="L1" s="23" t="n"/>
      <c r="M1" s="23" t="n"/>
      <c r="N1" s="23" t="n"/>
      <c r="O1" s="23" t="n"/>
      <c r="P1" s="23" t="n"/>
      <c r="Q1" s="23" t="n"/>
      <c r="R1" s="23" t="n"/>
      <c r="S1" s="23" t="n"/>
      <c r="T1" s="23" t="n"/>
      <c r="U1" s="23" t="n"/>
    </row>
    <row r="2" ht="16" customHeight="1">
      <c r="A2" s="15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23" t="n"/>
      <c r="T2" s="23" t="n"/>
      <c r="U2" s="23" t="n"/>
    </row>
    <row r="3" ht="17" customHeight="1">
      <c r="A3" s="23" t="n"/>
      <c r="B3" s="15" t="n"/>
      <c r="C3" s="16" t="inlineStr">
        <is>
          <t>Saldo Inicial:</t>
        </is>
      </c>
      <c r="D3" s="28" t="n">
        <v>188407.73</v>
      </c>
      <c r="E3" s="19" t="inlineStr">
        <is>
          <t>"deve refletir o saldo antes do 1º movimento"</t>
        </is>
      </c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  <c r="S3" s="23" t="n"/>
      <c r="T3" s="23" t="n"/>
      <c r="U3" s="23" t="n"/>
    </row>
    <row r="4">
      <c r="A4" s="24" t="n"/>
      <c r="C4" s="24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  <c r="S4" s="23" t="n"/>
      <c r="T4" s="23" t="n"/>
      <c r="U4" s="23" t="n"/>
    </row>
    <row r="5" ht="16" customHeight="1">
      <c r="A5" s="23" t="n"/>
      <c r="B5" s="25" t="n"/>
      <c r="C5" s="26" t="inlineStr">
        <is>
          <t>Saldo Final:</t>
        </is>
      </c>
      <c r="D5" s="28" t="n">
        <v>183564.02</v>
      </c>
      <c r="E5" s="19" t="inlineStr">
        <is>
          <t>"deve refletir o saldo após o último movimemto"</t>
        </is>
      </c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  <c r="T5" s="23" t="n"/>
      <c r="U5" s="23" t="n"/>
    </row>
    <row r="6">
      <c r="A6" s="23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</row>
    <row r="7" ht="17" customFormat="1" customHeight="1" s="23">
      <c r="A7" s="17" t="inlineStr">
        <is>
          <t>Data Mov.</t>
        </is>
      </c>
      <c r="B7" s="17" t="inlineStr">
        <is>
          <t>Data Valor</t>
        </is>
      </c>
      <c r="C7" s="17" t="inlineStr">
        <is>
          <t>Descrição do Movimento</t>
        </is>
      </c>
      <c r="D7" s="17" t="inlineStr">
        <is>
          <t>Movimento</t>
        </is>
      </c>
      <c r="E7" s="7" t="n"/>
    </row>
    <row r="8" ht="17" customHeight="1">
      <c r="A8" s="29" t="n">
        <v>45663</v>
      </c>
      <c r="B8" s="29" t="n">
        <v>45663</v>
      </c>
      <c r="C8" s="30" t="inlineStr">
        <is>
          <t>Trf a credito sepa+ - dr joao carlos babo vale -</t>
        </is>
      </c>
      <c r="D8" s="31" t="n">
        <v>3000</v>
      </c>
      <c r="E8" s="32" t="n"/>
    </row>
    <row r="9">
      <c r="A9" s="29" t="n">
        <v>45666</v>
      </c>
      <c r="B9" s="29" t="n">
        <v>45666</v>
      </c>
      <c r="C9" s="30" t="inlineStr">
        <is>
          <t>Trf a credito sepa+ - carlota vasconcelos g b -</t>
        </is>
      </c>
      <c r="D9" s="31" t="n">
        <v>7687.5</v>
      </c>
      <c r="E9" s="32" t="n"/>
    </row>
    <row r="10">
      <c r="A10" s="29" t="n">
        <v>45666</v>
      </c>
      <c r="B10" s="29" t="n">
        <v>45666</v>
      </c>
      <c r="C10" s="30" t="inlineStr">
        <is>
          <t>Trf a credito sepa+ - unbound properties lda</t>
        </is>
      </c>
      <c r="D10" s="31" t="n">
        <v>4920</v>
      </c>
      <c r="E10" s="32" t="n"/>
    </row>
    <row r="11">
      <c r="A11" s="33" t="n">
        <v>45667</v>
      </c>
      <c r="B11" s="33" t="n">
        <v>45667</v>
      </c>
      <c r="C11" s="34" t="inlineStr">
        <is>
          <t>Trf a credito sepa+ - mafalda correia goncalve - mafalda per</t>
        </is>
      </c>
      <c r="D11" s="35" t="n">
        <v>10147.5</v>
      </c>
      <c r="E11" s="32" t="n"/>
    </row>
    <row r="12">
      <c r="A12" s="33" t="n">
        <v>45667</v>
      </c>
      <c r="B12" s="33" t="n">
        <v>45667</v>
      </c>
      <c r="C12" s="34" t="inlineStr">
        <is>
          <t>Cobranca debitos directos</t>
        </is>
      </c>
      <c r="D12" s="35" t="n">
        <v>-162.42</v>
      </c>
      <c r="E12" s="32" t="n"/>
    </row>
    <row r="13">
      <c r="A13" s="33" t="n">
        <v>45667</v>
      </c>
      <c r="B13" s="33" t="n">
        <v>45667</v>
      </c>
      <c r="C13" s="34" t="inlineStr">
        <is>
          <t>Trf a credito sepa+ - lusowayserv adm apoio ge - ft 2024 25</t>
        </is>
      </c>
      <c r="D13" s="35" t="n">
        <v>-111.47</v>
      </c>
      <c r="E13" s="32" t="n"/>
      <c r="F13" s="36" t="n"/>
    </row>
    <row r="14">
      <c r="A14" s="33" t="n">
        <v>45667</v>
      </c>
      <c r="B14" s="33" t="n">
        <v>45667</v>
      </c>
      <c r="C14" s="34" t="inlineStr">
        <is>
          <t>Trf a credito sepa+ - acrossdistance unipessoa - ft 17</t>
        </is>
      </c>
      <c r="D14" s="35" t="n">
        <v>-16143.75</v>
      </c>
      <c r="E14" s="32" t="n"/>
      <c r="H14" s="37" t="n"/>
    </row>
    <row r="15">
      <c r="A15" s="33" t="n">
        <v>45667</v>
      </c>
      <c r="B15" s="33" t="n">
        <v>45667</v>
      </c>
      <c r="C15" s="34" t="inlineStr">
        <is>
          <t>Trf a credito sepa+ - dra cristina maria da co - rv 2</t>
        </is>
      </c>
      <c r="D15" s="35" t="n">
        <v>-14634.37</v>
      </c>
      <c r="E15" s="32" t="n"/>
    </row>
    <row r="16">
      <c r="A16" s="33" t="n">
        <v>45667</v>
      </c>
      <c r="B16" s="33" t="n">
        <v>45667</v>
      </c>
      <c r="C16" s="34" t="inlineStr">
        <is>
          <t>Trf a credito sepa+ - amarelo branco lda - ft 2024 66</t>
        </is>
      </c>
      <c r="D16" s="35" t="n">
        <v>-4843.74</v>
      </c>
      <c r="E16" s="32" t="n"/>
    </row>
    <row r="17">
      <c r="A17" s="33" t="n">
        <v>45667</v>
      </c>
      <c r="B17" s="33" t="n">
        <v>45667</v>
      </c>
      <c r="C17" s="34" t="inlineStr">
        <is>
          <t>Trf a credito sepa+ - lince real estate lda - transf entre c</t>
        </is>
      </c>
      <c r="D17" s="35" t="n">
        <v>-22313</v>
      </c>
      <c r="E17" s="32" t="n"/>
    </row>
    <row r="18">
      <c r="A18" s="33" t="n">
        <v>45667</v>
      </c>
      <c r="B18" s="33" t="n">
        <v>45667</v>
      </c>
      <c r="C18" s="34" t="inlineStr">
        <is>
          <t>Trf a credito intrabancaria - doria e leao lda - ft m 13</t>
        </is>
      </c>
      <c r="D18" s="35" t="n">
        <v>-70725</v>
      </c>
      <c r="E18" s="32" t="n"/>
    </row>
    <row r="19">
      <c r="A19" s="33" t="n">
        <v>45667</v>
      </c>
      <c r="B19" s="33" t="n">
        <v>45667</v>
      </c>
      <c r="C19" s="34" t="inlineStr">
        <is>
          <t>Trf a credito sepa+ - lince real estate lda - transf entre c</t>
        </is>
      </c>
      <c r="D19" s="35" t="n">
        <v>-5000</v>
      </c>
      <c r="E19" s="32" t="n"/>
    </row>
    <row r="20">
      <c r="A20" s="33" t="n">
        <v>45670</v>
      </c>
      <c r="B20" s="33" t="n">
        <v>45670</v>
      </c>
      <c r="C20" s="34" t="inlineStr">
        <is>
          <t>Trf a credito sepa+ - preciouscipher - sic imo - tpgd/2025/5</t>
        </is>
      </c>
      <c r="D20" s="35" t="n">
        <v>52890</v>
      </c>
      <c r="E20" s="32" t="n"/>
    </row>
    <row r="21">
      <c r="A21" s="33" t="n">
        <v>45672</v>
      </c>
      <c r="B21" s="33" t="n">
        <v>45672</v>
      </c>
      <c r="C21" s="34" t="inlineStr">
        <is>
          <t>Trf a credito sepa+ - irg international realty - lince 2025</t>
        </is>
      </c>
      <c r="D21" s="35" t="n">
        <v>8456.25</v>
      </c>
      <c r="E21" s="32" t="n"/>
    </row>
    <row r="22">
      <c r="A22" s="33" t="n">
        <v>45672</v>
      </c>
      <c r="B22" s="33" t="n">
        <v>45672</v>
      </c>
      <c r="C22" s="34" t="inlineStr">
        <is>
          <t>Trf a credito intrabancaria - monjardino pacheco lda - ft 1</t>
        </is>
      </c>
      <c r="D22" s="35" t="n">
        <v>-1230</v>
      </c>
      <c r="E22" s="32" t="n"/>
    </row>
    <row r="23">
      <c r="A23" s="33" t="n">
        <v>45672</v>
      </c>
      <c r="B23" s="33" t="n">
        <v>45672</v>
      </c>
      <c r="C23" s="34" t="inlineStr">
        <is>
          <t>Trf a credito sepa+ - amarelo branco lda - ft 2025 2</t>
        </is>
      </c>
      <c r="D23" s="35" t="n">
        <v>-369</v>
      </c>
      <c r="E23" s="32" t="n"/>
    </row>
    <row r="24">
      <c r="A24" s="33" t="n">
        <v>45672</v>
      </c>
      <c r="B24" s="33" t="n">
        <v>45672</v>
      </c>
      <c r="C24" s="34" t="inlineStr">
        <is>
          <t>Trf a credito sepa+ - maria andringa unip lda - ft 10</t>
        </is>
      </c>
      <c r="D24" s="35" t="n">
        <v>-1230</v>
      </c>
      <c r="E24" s="32" t="n"/>
    </row>
    <row r="25">
      <c r="A25" s="33" t="n">
        <v>45672</v>
      </c>
      <c r="B25" s="33" t="n">
        <v>45672</v>
      </c>
      <c r="C25" s="34" t="inlineStr">
        <is>
          <t>Trf a credito sepa+ - lince real estate lda - transf entre c</t>
        </is>
      </c>
      <c r="D25" s="35" t="n">
        <v>-1700</v>
      </c>
      <c r="E25" s="32" t="n"/>
    </row>
    <row r="26">
      <c r="A26" s="33" t="n">
        <v>45672</v>
      </c>
      <c r="B26" s="33" t="n">
        <v>45672</v>
      </c>
      <c r="C26" s="34" t="inlineStr">
        <is>
          <t>Trf a credito sepa+ - amarelo branco lda - ft 2025 3</t>
        </is>
      </c>
      <c r="D26" s="35" t="n">
        <v>-145.14</v>
      </c>
      <c r="E26" s="32" t="n"/>
    </row>
    <row r="27">
      <c r="A27" s="33" t="n">
        <v>45672</v>
      </c>
      <c r="B27" s="33" t="n">
        <v>45672</v>
      </c>
      <c r="C27" s="34" t="inlineStr">
        <is>
          <t>Trf a credito sepa+ - fcgm sociedade de mediac - ft 696</t>
        </is>
      </c>
      <c r="D27" s="35" t="n">
        <v>-1937.25</v>
      </c>
      <c r="E27" s="32" t="n"/>
    </row>
    <row r="28">
      <c r="A28" s="33" t="n">
        <v>45672</v>
      </c>
      <c r="B28" s="33" t="n">
        <v>45672</v>
      </c>
      <c r="C28" s="34" t="inlineStr">
        <is>
          <t>Trf a credito sepa+ - matilde rosa a c esteves - rv 5</t>
        </is>
      </c>
      <c r="D28" s="35" t="n">
        <v>-771.75</v>
      </c>
      <c r="E28" s="32" t="n"/>
    </row>
    <row r="29">
      <c r="A29" s="33" t="n">
        <v>45672</v>
      </c>
      <c r="B29" s="33" t="n">
        <v>45672</v>
      </c>
      <c r="C29" s="34" t="inlineStr">
        <is>
          <t>Trf a credito sepa+ - lince real estate lda - transf entre c</t>
        </is>
      </c>
      <c r="D29" s="35" t="n">
        <v>-669</v>
      </c>
      <c r="E29" s="32" t="n"/>
    </row>
    <row r="30">
      <c r="A30" s="33" t="n">
        <v>45672</v>
      </c>
      <c r="B30" s="33" t="n">
        <v>45672</v>
      </c>
      <c r="C30" s="34" t="inlineStr">
        <is>
          <t>Trf a credito sepa+ - maria andringa unip lda - ft 11</t>
        </is>
      </c>
      <c r="D30" s="35" t="n">
        <v>-2536.88</v>
      </c>
      <c r="E30" s="32" t="n"/>
    </row>
    <row r="31">
      <c r="A31" s="33" t="n">
        <v>45672</v>
      </c>
      <c r="B31" s="33" t="n">
        <v>45672</v>
      </c>
      <c r="C31" s="34" t="inlineStr">
        <is>
          <t>Trf a credito sepa+ - amarelo branco lda - ft 2025 4</t>
        </is>
      </c>
      <c r="D31" s="38" t="n">
        <v>-380.07</v>
      </c>
    </row>
    <row r="32">
      <c r="A32" s="33" t="n">
        <v>45672</v>
      </c>
      <c r="B32" s="33" t="n">
        <v>45672</v>
      </c>
      <c r="C32" s="34" t="inlineStr">
        <is>
          <t>Trf a credito sepa+ - lince real estate lda - transf entre c</t>
        </is>
      </c>
      <c r="D32" s="38" t="n">
        <v>-1753</v>
      </c>
    </row>
    <row r="33">
      <c r="A33" s="33" t="n">
        <v>45672</v>
      </c>
      <c r="B33" s="33" t="n">
        <v>45672</v>
      </c>
      <c r="C33" s="34" t="inlineStr">
        <is>
          <t>Trf a credito sepa+ - s joy lda - ft 1</t>
        </is>
      </c>
      <c r="D33" s="38" t="n">
        <v>-11531.25</v>
      </c>
    </row>
    <row r="34">
      <c r="A34" s="33" t="n">
        <v>45672</v>
      </c>
      <c r="B34" s="33" t="n">
        <v>45672</v>
      </c>
      <c r="C34" s="34" t="inlineStr">
        <is>
          <t>Trf a credito sepa+ - amarelo branco lda - ft 2025 1</t>
        </is>
      </c>
      <c r="D34" s="38" t="n">
        <v>-1729.38</v>
      </c>
    </row>
    <row r="35">
      <c r="A35" s="33" t="n">
        <v>45672</v>
      </c>
      <c r="B35" s="33" t="n">
        <v>45672</v>
      </c>
      <c r="C35" s="34" t="inlineStr">
        <is>
          <t>Trf a credito sepa+ - lince real estate lda - transf entre c</t>
        </is>
      </c>
      <c r="D35" s="38" t="n">
        <v>-7969</v>
      </c>
    </row>
    <row r="36">
      <c r="A36" s="33" t="n">
        <v>45673</v>
      </c>
      <c r="B36" s="33" t="n">
        <v>45673</v>
      </c>
      <c r="C36" s="34" t="inlineStr">
        <is>
          <t>Transf imediata de plre properties lda</t>
        </is>
      </c>
      <c r="D36" s="38" t="n">
        <v>84870</v>
      </c>
    </row>
    <row r="37">
      <c r="A37" s="33" t="n">
        <v>45674</v>
      </c>
      <c r="B37" s="33" t="n">
        <v>45674</v>
      </c>
      <c r="C37" s="34" t="inlineStr">
        <is>
          <t>Trf a credito sepa+ - magentashadow unip lda - ft 9</t>
        </is>
      </c>
      <c r="D37" s="38" t="n">
        <v>-5073.75</v>
      </c>
    </row>
    <row r="38">
      <c r="A38" s="33" t="n">
        <v>45674</v>
      </c>
      <c r="B38" s="33" t="n">
        <v>45674</v>
      </c>
      <c r="C38" s="34" t="inlineStr">
        <is>
          <t>Trf a credito sepa+ - amarelo branco lda - ft 2025 5</t>
        </is>
      </c>
      <c r="D38" s="38" t="n">
        <v>-6365.25</v>
      </c>
    </row>
    <row r="39">
      <c r="A39" s="33" t="n">
        <v>45674</v>
      </c>
      <c r="B39" s="33" t="n">
        <v>45674</v>
      </c>
      <c r="C39" s="34" t="inlineStr">
        <is>
          <t>Trf a credito sepa+ - lince real estate lda - transf entre c</t>
        </is>
      </c>
      <c r="D39" s="38" t="n">
        <v>-29325</v>
      </c>
    </row>
    <row r="40">
      <c r="A40" s="33" t="n">
        <v>45674</v>
      </c>
      <c r="B40" s="33" t="n">
        <v>45674</v>
      </c>
      <c r="C40" s="34" t="inlineStr">
        <is>
          <t>Trf a credito sepa+ - amarelo branco lda - ft 2025 7</t>
        </is>
      </c>
      <c r="D40" s="38" t="n">
        <v>-634.6799999999999</v>
      </c>
    </row>
    <row r="41">
      <c r="A41" s="33" t="n">
        <v>45674</v>
      </c>
      <c r="B41" s="33" t="n">
        <v>45674</v>
      </c>
      <c r="C41" s="34" t="inlineStr">
        <is>
          <t>Trf a credito sepa+ - joana cordoeiro castelo - rv 3</t>
        </is>
      </c>
      <c r="D41" s="38" t="n">
        <v>-4900</v>
      </c>
    </row>
    <row r="42">
      <c r="A42" s="33" t="n">
        <v>45674</v>
      </c>
      <c r="B42" s="33" t="n">
        <v>45674</v>
      </c>
      <c r="C42" s="34" t="inlineStr">
        <is>
          <t>Trf a credito sepa+ - joana cordoeiro castelo - rv 4 maria c</t>
        </is>
      </c>
      <c r="D42" s="38" t="n">
        <v>-5750</v>
      </c>
    </row>
    <row r="43">
      <c r="A43" s="33" t="n">
        <v>45674</v>
      </c>
      <c r="B43" s="33" t="n">
        <v>45674</v>
      </c>
      <c r="C43" s="34" t="inlineStr">
        <is>
          <t>Trf a credito sepa+ - lince real estate lda - transf entre c</t>
        </is>
      </c>
      <c r="D43" s="38" t="n">
        <v>-18275</v>
      </c>
    </row>
    <row r="44">
      <c r="A44" s="33" t="n">
        <v>45674</v>
      </c>
      <c r="B44" s="33" t="n">
        <v>45674</v>
      </c>
      <c r="C44" s="34" t="inlineStr">
        <is>
          <t>Pag. impostos</t>
        </is>
      </c>
      <c r="D44" s="38" t="n">
        <v>-5087.61</v>
      </c>
    </row>
    <row r="45">
      <c r="A45" s="33" t="n">
        <v>45677</v>
      </c>
      <c r="B45" s="33" t="n">
        <v>45677</v>
      </c>
      <c r="C45" s="34" t="inlineStr">
        <is>
          <t>Pag. impostos</t>
        </is>
      </c>
      <c r="D45" s="38" t="n">
        <v>-26449.04</v>
      </c>
    </row>
    <row r="46">
      <c r="A46" s="33" t="n">
        <v>45681</v>
      </c>
      <c r="B46" s="33" t="n">
        <v>45681</v>
      </c>
      <c r="C46" s="34" t="inlineStr">
        <is>
          <t>Cobranca debitos directos</t>
        </is>
      </c>
      <c r="D46" s="38" t="n">
        <v>-278.55</v>
      </c>
    </row>
    <row r="47">
      <c r="A47" s="33" t="n">
        <v>45681</v>
      </c>
      <c r="B47" s="33" t="n">
        <v>45681</v>
      </c>
      <c r="C47" s="34" t="inlineStr">
        <is>
          <t>Trf a credito sepa+ - m andre rialland - cu3d25023n00877</t>
        </is>
      </c>
      <c r="D47" s="38" t="n">
        <v>13530</v>
      </c>
    </row>
    <row r="48">
      <c r="A48" s="33" t="n">
        <v>45688</v>
      </c>
      <c r="B48" s="33" t="n">
        <v>45688</v>
      </c>
      <c r="C48" s="34" t="inlineStr">
        <is>
          <t>Trf a credito sepa+ - mariana fonseca - rv 1</t>
        </is>
      </c>
      <c r="D48" s="38" t="n">
        <v>-1347.5</v>
      </c>
    </row>
    <row r="49">
      <c r="A49" s="33" t="n">
        <v>45688</v>
      </c>
      <c r="B49" s="33" t="n">
        <v>45688</v>
      </c>
      <c r="C49" s="34" t="inlineStr">
        <is>
          <t>Trf a credito sepa+ - elc connexion unip lda - ft 25 2</t>
        </is>
      </c>
      <c r="D49" s="38" t="n">
        <v>-6765</v>
      </c>
    </row>
    <row r="50">
      <c r="A50" s="33" t="n">
        <v>45688</v>
      </c>
      <c r="B50" s="33" t="n">
        <v>45688</v>
      </c>
      <c r="C50" s="34" t="inlineStr">
        <is>
          <t>Trf a credito intrabancaria - monjardino pacheco lda - ft 1</t>
        </is>
      </c>
      <c r="D50" s="38" t="n">
        <v>-1691.25</v>
      </c>
    </row>
    <row r="51">
      <c r="A51" s="33" t="n">
        <v>45688</v>
      </c>
      <c r="B51" s="33" t="n">
        <v>45688</v>
      </c>
      <c r="C51" s="34" t="inlineStr">
        <is>
          <t>Trf a credito sepa+ - amarelo branco lda - ft 2025 9</t>
        </is>
      </c>
      <c r="D51" s="38" t="n">
        <v>-507.99</v>
      </c>
    </row>
    <row r="52">
      <c r="A52" s="33" t="n">
        <v>45688</v>
      </c>
      <c r="B52" s="33" t="n">
        <v>45688</v>
      </c>
      <c r="C52" s="34" t="inlineStr">
        <is>
          <t>Trf a credito sepa+ - lince real estate lda - transf entre c</t>
        </is>
      </c>
      <c r="D52" s="38" t="n">
        <v>-2338</v>
      </c>
    </row>
    <row r="53">
      <c r="A53" s="33" t="n">
        <v>45688</v>
      </c>
      <c r="B53" s="33" t="n">
        <v>45688</v>
      </c>
      <c r="C53" s="34" t="inlineStr">
        <is>
          <t>Trf a credito sepa+ - amarelo branco lda - ft 2025 8</t>
        </is>
      </c>
      <c r="D53" s="38" t="n">
        <v>-2306.25</v>
      </c>
    </row>
    <row r="54">
      <c r="A54" s="33" t="n">
        <v>45688</v>
      </c>
      <c r="B54" s="33" t="n">
        <v>45688</v>
      </c>
      <c r="C54" s="34" t="inlineStr">
        <is>
          <t>Trf a credito sepa+ - acrossdistance unipessoa - ft 2025 1</t>
        </is>
      </c>
      <c r="D54" s="38" t="n">
        <v>-15375</v>
      </c>
    </row>
    <row r="55">
      <c r="A55" s="33" t="n">
        <v>45688</v>
      </c>
      <c r="B55" s="33" t="n">
        <v>45688</v>
      </c>
      <c r="C55" s="34" t="inlineStr">
        <is>
          <t>Trf a credito sepa+ - lince real estate lda - transf entre c</t>
        </is>
      </c>
      <c r="D55" s="38" t="n">
        <v>-10625</v>
      </c>
    </row>
    <row r="56">
      <c r="A56" s="33" t="n">
        <v>45692</v>
      </c>
      <c r="B56" s="33" t="n">
        <v>45692</v>
      </c>
      <c r="C56" s="34" t="inlineStr">
        <is>
          <t>Trf a credito sepa+ - siricon,lda - lince real estate lda</t>
        </is>
      </c>
      <c r="D56" s="38" t="n">
        <v>14981.4</v>
      </c>
    </row>
    <row r="57">
      <c r="A57" s="33" t="n">
        <v>45692</v>
      </c>
      <c r="B57" s="33" t="n">
        <v>45692</v>
      </c>
      <c r="C57" s="34" t="inlineStr">
        <is>
          <t>Trf a credito sepa+ - agostinho ferreira</t>
        </is>
      </c>
      <c r="D57" s="38" t="n">
        <v>144217.5</v>
      </c>
    </row>
    <row r="58">
      <c r="A58" s="33" t="n">
        <v>45692</v>
      </c>
      <c r="B58" s="33" t="n">
        <v>45692</v>
      </c>
      <c r="C58" s="34" t="inlineStr">
        <is>
          <t>Trf a credito sepa+ - verurbe imobiliaria soc - trf caixadir</t>
        </is>
      </c>
      <c r="D58" s="38" t="n">
        <v>11608.13</v>
      </c>
    </row>
    <row r="59">
      <c r="A59" s="33" t="n">
        <v>45695</v>
      </c>
      <c r="B59" s="33" t="n">
        <v>45695</v>
      </c>
      <c r="C59" s="34" t="inlineStr">
        <is>
          <t>Trf a credito sepa+ - maria a g s carvalho cal - rv 4</t>
        </is>
      </c>
      <c r="D59" s="38" t="n">
        <v>-12311.25</v>
      </c>
    </row>
    <row r="60">
      <c r="A60" s="33" t="n">
        <v>45695</v>
      </c>
      <c r="B60" s="33" t="n">
        <v>45695</v>
      </c>
      <c r="C60" s="34" t="inlineStr">
        <is>
          <t>Trf a credito sepa+ - denise fonseca peixe - rv 4</t>
        </is>
      </c>
      <c r="D60" s="38" t="n">
        <v>-12311.25</v>
      </c>
    </row>
    <row r="61">
      <c r="A61" s="33" t="n">
        <v>45695</v>
      </c>
      <c r="B61" s="33" t="n">
        <v>45695</v>
      </c>
      <c r="C61" s="34" t="inlineStr">
        <is>
          <t>Trf a credito sepa+ - amarelo branco lda - ft 2025 10</t>
        </is>
      </c>
      <c r="D61" s="38" t="n">
        <v>-4635.87</v>
      </c>
    </row>
    <row r="62">
      <c r="A62" s="33" t="n">
        <v>45695</v>
      </c>
      <c r="B62" s="33" t="n">
        <v>45695</v>
      </c>
      <c r="C62" s="34" t="inlineStr">
        <is>
          <t>Trf a credito sepa+ - wlre lda - ft 2025 10</t>
        </is>
      </c>
      <c r="D62" s="38" t="n">
        <v>-20602.5</v>
      </c>
    </row>
    <row r="63">
      <c r="A63" s="33" t="n">
        <v>45695</v>
      </c>
      <c r="B63" s="33" t="n">
        <v>45695</v>
      </c>
      <c r="C63" s="34" t="inlineStr">
        <is>
          <t>Trf a credito sepa+ - lince real estate lda - transf entre c</t>
        </is>
      </c>
      <c r="D63" s="38" t="n">
        <v>-21356</v>
      </c>
    </row>
    <row r="64">
      <c r="A64" s="33" t="n">
        <v>45695</v>
      </c>
      <c r="B64" s="33" t="n">
        <v>45695</v>
      </c>
      <c r="C64" s="34" t="inlineStr">
        <is>
          <t>Trf a credito sepa+ - s joy lda - ft 196125</t>
        </is>
      </c>
      <c r="D64" s="38" t="n">
        <v>-1451.4</v>
      </c>
    </row>
    <row r="65">
      <c r="A65" s="33" t="n">
        <v>45695</v>
      </c>
      <c r="B65" s="33" t="n">
        <v>45695</v>
      </c>
      <c r="C65" s="34" t="inlineStr">
        <is>
          <t>Trf a credito sepa+ - agent centric mediacao i - ft 59</t>
        </is>
      </c>
      <c r="D65" s="38" t="n">
        <v>-5804.06</v>
      </c>
    </row>
    <row r="66">
      <c r="A66" s="33" t="n">
        <v>45695</v>
      </c>
      <c r="B66" s="33" t="n">
        <v>45695</v>
      </c>
      <c r="C66" s="34" t="inlineStr">
        <is>
          <t>Trf a credito sepa+ - amarelo branco lda - ft 2025 11</t>
        </is>
      </c>
      <c r="D66" s="38" t="n">
        <v>-435.42</v>
      </c>
    </row>
    <row r="67">
      <c r="A67" s="33" t="n">
        <v>45695</v>
      </c>
      <c r="B67" s="33" t="n">
        <v>45695</v>
      </c>
      <c r="C67" s="34" t="inlineStr">
        <is>
          <t>Trf a credito sepa+ - acrossdistance unipessoa - ft 2025 2</t>
        </is>
      </c>
      <c r="D67" s="38" t="n">
        <v>-1451.4</v>
      </c>
    </row>
    <row r="68">
      <c r="A68" s="33" t="n">
        <v>45695</v>
      </c>
      <c r="B68" s="33" t="n">
        <v>45695</v>
      </c>
      <c r="C68" s="34" t="inlineStr">
        <is>
          <t>Trf a credito sepa+ - lince real estate lda - transf entre c</t>
        </is>
      </c>
      <c r="D68" s="38" t="n">
        <v>-2005</v>
      </c>
    </row>
    <row r="69">
      <c r="A69" s="33" t="n">
        <v>45698</v>
      </c>
      <c r="B69" s="33" t="n">
        <v>45698</v>
      </c>
      <c r="C69" s="34" t="inlineStr">
        <is>
          <t>Cobranca debitos directos</t>
        </is>
      </c>
      <c r="D69" s="38" t="n">
        <v>-47.17</v>
      </c>
    </row>
    <row r="70">
      <c r="A70" s="33" t="n">
        <v>45705</v>
      </c>
      <c r="B70" s="33" t="n">
        <v>45705</v>
      </c>
      <c r="C70" s="34" t="inlineStr">
        <is>
          <t>Pag. impostos</t>
        </is>
      </c>
      <c r="D70" s="38" t="n">
        <v>-2007.23</v>
      </c>
    </row>
    <row r="71">
      <c r="A71" s="33" t="n">
        <v>45706</v>
      </c>
      <c r="B71" s="33" t="n">
        <v>45706</v>
      </c>
      <c r="C71" s="34" t="inlineStr">
        <is>
          <t>Trf a credito sepa+ - roquette leitao associ - pagto ft 15</t>
        </is>
      </c>
      <c r="D71" s="38" t="n">
        <v>9225</v>
      </c>
    </row>
    <row r="72">
      <c r="A72" s="33" t="n">
        <v>45709</v>
      </c>
      <c r="B72" s="33" t="n">
        <v>45709</v>
      </c>
      <c r="C72" s="34" t="inlineStr">
        <is>
          <t>Transf imediata de jorge manuel vinagre alf - pag ft 2025</t>
        </is>
      </c>
      <c r="D72" s="38" t="n">
        <v>2952</v>
      </c>
    </row>
    <row r="73">
      <c r="A73" s="33" t="n">
        <v>45709</v>
      </c>
      <c r="B73" s="33" t="n">
        <v>45709</v>
      </c>
      <c r="C73" s="34" t="inlineStr">
        <is>
          <t>Trf a credito sepa+ - pujolinvest,sa - pc ft2025 13</t>
        </is>
      </c>
      <c r="D73" s="38" t="n">
        <v>21000</v>
      </c>
    </row>
    <row r="74">
      <c r="A74" s="33" t="n">
        <v>45709</v>
      </c>
      <c r="B74" s="33" t="n">
        <v>45709</v>
      </c>
      <c r="C74" s="34" t="inlineStr">
        <is>
          <t>Trf a credito sepa+ - mariana vasconcelos port - ft 2025 2</t>
        </is>
      </c>
      <c r="D74" s="38" t="n">
        <v>-8487</v>
      </c>
    </row>
    <row r="75">
      <c r="A75" s="33" t="n">
        <v>45709</v>
      </c>
      <c r="B75" s="33" t="n">
        <v>45709</v>
      </c>
      <c r="C75" s="34" t="inlineStr">
        <is>
          <t>Trf a credito sepa+ - lince real estate lda - transf entre c</t>
        </is>
      </c>
      <c r="D75" s="38" t="n">
        <v>-600</v>
      </c>
    </row>
    <row r="76">
      <c r="A76" s="33" t="n">
        <v>45712</v>
      </c>
      <c r="B76" s="33" t="n">
        <v>45712</v>
      </c>
      <c r="C76" s="34" t="inlineStr">
        <is>
          <t>Trf a credito sepa+ - m andre rialland - cu3d25052n02492</t>
        </is>
      </c>
      <c r="D76" s="38" t="n">
        <v>13530</v>
      </c>
    </row>
    <row r="77">
      <c r="A77" s="33" t="n">
        <v>45712</v>
      </c>
      <c r="B77" s="33" t="n">
        <v>45712</v>
      </c>
      <c r="C77" s="34" t="inlineStr">
        <is>
          <t>Trf a credito sepa+ - burgos e avenidas lda - parte ft 30 20</t>
        </is>
      </c>
      <c r="D77" s="38" t="n">
        <v>-7490.5</v>
      </c>
    </row>
    <row r="78">
      <c r="A78" s="33" t="n">
        <v>45712</v>
      </c>
      <c r="B78" s="33" t="n">
        <v>45712</v>
      </c>
      <c r="C78" s="34" t="inlineStr">
        <is>
          <t>Transf imediata de dr gil bernardo jacques zdanowski</t>
        </is>
      </c>
      <c r="D78" s="38" t="n">
        <v>4182</v>
      </c>
    </row>
    <row r="79">
      <c r="A79" s="33" t="n">
        <v>45712</v>
      </c>
      <c r="B79" s="33" t="n">
        <v>45712</v>
      </c>
      <c r="C79" s="34" t="inlineStr">
        <is>
          <t>Trf a credito intrabancaria - monjardino pacheco lda - ft 1</t>
        </is>
      </c>
      <c r="D79" s="38" t="n">
        <v>-1691.25</v>
      </c>
    </row>
    <row r="80">
      <c r="A80" s="33" t="n">
        <v>45712</v>
      </c>
      <c r="B80" s="33" t="n">
        <v>45712</v>
      </c>
      <c r="C80" s="34" t="inlineStr">
        <is>
          <t>Trf a credito sepa+ - catarina mayer simoes al - rv 2</t>
        </is>
      </c>
      <c r="D80" s="38" t="n">
        <v>-1375</v>
      </c>
    </row>
    <row r="81">
      <c r="A81" s="33" t="n">
        <v>45712</v>
      </c>
      <c r="B81" s="33" t="n">
        <v>45712</v>
      </c>
      <c r="C81" s="34" t="inlineStr">
        <is>
          <t>Trf a credito sepa+ - elc connexion unip lda - ft 25 3</t>
        </is>
      </c>
      <c r="D81" s="38" t="n">
        <v>-6765</v>
      </c>
    </row>
    <row r="82">
      <c r="A82" s="33" t="n">
        <v>45712</v>
      </c>
      <c r="B82" s="33" t="n">
        <v>45712</v>
      </c>
      <c r="C82" s="34" t="inlineStr">
        <is>
          <t>Trf a credito sepa+ - amarelo branco lda - ft 2025 14</t>
        </is>
      </c>
      <c r="D82" s="38" t="n">
        <v>-507.99</v>
      </c>
    </row>
    <row r="83">
      <c r="A83" s="33" t="n">
        <v>45712</v>
      </c>
      <c r="B83" s="33" t="n">
        <v>45712</v>
      </c>
      <c r="C83" s="34" t="inlineStr">
        <is>
          <t>Trf a credito sepa+ - lince real estate lda - transf entre c</t>
        </is>
      </c>
      <c r="D83" s="38" t="n">
        <v>-2338</v>
      </c>
    </row>
    <row r="84">
      <c r="A84" s="33" t="n">
        <v>45712</v>
      </c>
      <c r="B84" s="33" t="n">
        <v>45712</v>
      </c>
      <c r="C84" s="34" t="inlineStr">
        <is>
          <t>Trf a credito sepa+ - dra cristina maria da co - rv 3</t>
        </is>
      </c>
      <c r="D84" s="38" t="n">
        <v>-1338</v>
      </c>
    </row>
    <row r="85">
      <c r="A85" s="33" t="n">
        <v>45712</v>
      </c>
      <c r="B85" s="33" t="n">
        <v>45712</v>
      </c>
      <c r="C85" s="34" t="inlineStr">
        <is>
          <t>Trf a credito sepa+ - amarelo branco lda - ft 2025 13</t>
        </is>
      </c>
      <c r="D85" s="38" t="n">
        <v>-221.4</v>
      </c>
    </row>
    <row r="86">
      <c r="A86" s="33" t="n">
        <v>45712</v>
      </c>
      <c r="B86" s="33" t="n">
        <v>45712</v>
      </c>
      <c r="C86" s="34" t="inlineStr">
        <is>
          <t>Trf a credito sepa+ - lince real estate lda - transf entre c</t>
        </is>
      </c>
      <c r="D86" s="38" t="n">
        <v>-1020</v>
      </c>
    </row>
    <row r="87">
      <c r="A87" s="33" t="n">
        <v>45713</v>
      </c>
      <c r="B87" s="33" t="n">
        <v>45713</v>
      </c>
      <c r="C87" s="34" t="inlineStr">
        <is>
          <t>Cobranca debitos directos</t>
        </is>
      </c>
      <c r="D87" s="38" t="n">
        <v>-182.96</v>
      </c>
    </row>
    <row r="88">
      <c r="A88" s="33" t="n">
        <v>45715</v>
      </c>
      <c r="B88" s="33" t="n">
        <v>45715</v>
      </c>
      <c r="C88" s="34" t="inlineStr">
        <is>
          <t>Transf imediata de dr pedro nuno pereira barahona lemos</t>
        </is>
      </c>
      <c r="D88" s="38" t="n">
        <v>7687.5</v>
      </c>
    </row>
    <row r="89">
      <c r="A89" s="33" t="n">
        <v>45716</v>
      </c>
      <c r="B89" s="33" t="n">
        <v>45716</v>
      </c>
      <c r="C89" s="34" t="inlineStr">
        <is>
          <t>Trf a credito intrabancaria - ana maria pereira baraho - pag</t>
        </is>
      </c>
      <c r="D89" s="38" t="n">
        <v>7687.5</v>
      </c>
    </row>
  </sheetData>
  <sheetProtection selectLockedCells="1" selectUnlockedCells="0" algorithmName="SHA-512" sheet="1" objects="0" insertRows="1" insertHyperlinks="1" autoFilter="1" scenarios="0" formatColumns="1" deleteColumns="1" insertColumns="1" pivotTables="1" deleteRows="1" formatCells="1" saltValue="Gp6Gze+tRbvHl1SjYZ8fTg==" formatRows="1" sort="1" spinCount="100000" hashValue="oTdeagE7ZQDQW71eQEYNz4zSP3w5xBY+HmHx1Z7UOxVdifh5So0HRKzqhznLA6gF3szoNDZdpvxGIvIJ3MyppQ=="/>
  <mergeCells count="2">
    <mergeCell ref="A4:B4"/>
    <mergeCell ref="A1:D1"/>
  </mergeCells>
  <conditionalFormatting sqref="E1">
    <cfRule type="containsText" priority="1" operator="containsText" dxfId="1" text="inválidos">
      <formula>NOT(ISERROR(SEARCH("inválidos",E1)))</formula>
    </cfRule>
    <cfRule type="containsText" priority="2" operator="containsText" dxfId="0" text="saldos e movimentos validados">
      <formula>NOT(ISERROR(SEARCH("saldos e movimentos validados",E1)))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Toconline</dc:creator>
  <dcterms:created xsi:type="dcterms:W3CDTF">2021-02-24T15:08:15Z</dcterms:created>
  <dcterms:modified xsi:type="dcterms:W3CDTF">2026-05-07T14:26:50Z</dcterms:modified>
  <cp:lastModifiedBy>Toconline</cp:lastModifiedBy>
</cp:coreProperties>
</file>
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60" yWindow="900" windowWidth="33600" windowHeight="193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.00_-;\-* #,##0.00_-;_-* &quot;-&quot;??_-;_-@_-"/>
    <numFmt numFmtId="165" formatCode="_ * #,##0.00_)\ &quot;€&quot;_ ;_ * \(#,##0.00\)\ &quot;€&quot;_ ;_ * &quot;-&quot;??_)\ &quot;€&quot;_ ;_ @_ "/>
    <numFmt numFmtId="166" formatCode="_ * #,##0.00_)\ _€_ ;_ * \(#,##0.00\)\ _€_ ;_ * &quot;-&quot;??_)\ _€_ ;_ @_ "/>
    <numFmt numFmtId="167" formatCode="_-&quot;€&quot;* #,##0.00_-;\-&quot;€&quot;* #,##0.00_-;_-&quot;€&quot;* &quot;-&quot;??_-;_-@_-"/>
    <numFmt numFmtId="168" formatCode="DD/MM/YYYY"/>
    <numFmt numFmtId="169" formatCode="yyyy-mm-dd"/>
  </numFmts>
  <fonts count="10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color indexed="8"/>
      <sz val="12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libri (Body)"/>
      <i val="1"/>
      <color theme="4"/>
      <sz val="12"/>
    </font>
    <font>
      <name val="Calibri (Body)"/>
      <b val="1"/>
      <color theme="5" tint="-0.249977111117893"/>
      <sz val="12"/>
    </font>
    <font>
      <name val="Calibri (Body)"/>
      <b val="1"/>
      <color theme="1"/>
      <sz val="16"/>
    </font>
    <font>
      <name val="Calibri"/>
      <family val="2"/>
      <i val="1"/>
      <color theme="1"/>
      <sz val="13"/>
      <scheme val="minor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4" fontId="1" fillId="0" borderId="0"/>
  </cellStyleXfs>
  <cellXfs count="39">
    <xf numFmtId="0" fontId="0" fillId="0" borderId="0" pivotButton="0" quotePrefix="0" xfId="0"/>
    <xf numFmtId="164" fontId="2" fillId="0" borderId="0" applyAlignment="1" pivotButton="0" quotePrefix="0" xfId="0">
      <alignment horizontal="center" vertical="center" wrapText="1"/>
    </xf>
    <xf numFmtId="14" fontId="0" fillId="2" borderId="0" applyProtection="1" pivotButton="0" quotePrefix="0" xfId="0">
      <protection locked="0" hidden="0"/>
    </xf>
    <xf numFmtId="0" fontId="0" fillId="2" borderId="0" applyProtection="1" pivotButton="0" quotePrefix="0" xfId="0">
      <protection locked="0" hidden="0"/>
    </xf>
    <xf numFmtId="164" fontId="0" fillId="2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0" fillId="3" borderId="0" pivotButton="0" quotePrefix="0" xfId="0"/>
    <xf numFmtId="0" fontId="2" fillId="3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Protection="1" pivotButton="0" quotePrefix="0" xfId="0"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164" fontId="0" fillId="3" borderId="0" applyProtection="1" pivotButton="0" quotePrefix="0" xfId="0">
      <protection locked="0" hidden="0"/>
    </xf>
    <xf numFmtId="14" fontId="0" fillId="3" borderId="0" applyProtection="1" pivotButton="0" quotePrefix="0" xfId="0">
      <protection locked="0" hidden="0"/>
    </xf>
    <xf numFmtId="164" fontId="0" fillId="3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167" fontId="0" fillId="2" borderId="1" applyProtection="1" pivotButton="0" quotePrefix="0" xfId="2">
      <protection locked="0" hidden="0"/>
    </xf>
    <xf numFmtId="0" fontId="9" fillId="0" borderId="0" pivotButton="0" quotePrefix="0" xfId="0"/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vertical="top" wrapText="1" readingOrder="1"/>
    </xf>
    <xf numFmtId="0" fontId="0" fillId="3" borderId="0" pivotButton="0" quotePrefix="0" xfId="0"/>
    <xf numFmtId="0" fontId="3" fillId="3" borderId="0" applyAlignment="1" pivotButton="0" quotePrefix="0" xfId="0">
      <alignment vertical="top" wrapText="1" readingOrder="1"/>
    </xf>
    <xf numFmtId="0" fontId="5" fillId="3" borderId="0" pivotButton="0" quotePrefix="0" xfId="0"/>
    <xf numFmtId="0" fontId="4" fillId="3" borderId="0" applyAlignment="1" pivotButton="0" quotePrefix="0" xfId="0">
      <alignment horizontal="right" vertical="top" wrapText="1" readingOrder="1"/>
    </xf>
    <xf numFmtId="164" fontId="2" fillId="0" borderId="0" applyAlignment="1" pivotButton="0" quotePrefix="0" xfId="0">
      <alignment horizontal="center" vertical="center" wrapText="1"/>
    </xf>
    <xf numFmtId="167" fontId="0" fillId="2" borderId="1" applyProtection="1" pivotButton="0" quotePrefix="0" xfId="2">
      <protection locked="0" hidden="0"/>
    </xf>
    <xf numFmtId="168" fontId="0" fillId="2" borderId="2" applyProtection="1" pivotButton="0" quotePrefix="0" xfId="0">
      <protection locked="0" hidden="0"/>
    </xf>
    <xf numFmtId="0" fontId="0" fillId="2" borderId="2" applyProtection="1" pivotButton="0" quotePrefix="0" xfId="0">
      <protection locked="0" hidden="0"/>
    </xf>
    <xf numFmtId="4" fontId="0" fillId="2" borderId="2" applyAlignment="1" applyProtection="1" pivotButton="0" quotePrefix="0" xfId="1">
      <alignment horizontal="right"/>
      <protection locked="0" hidden="0"/>
    </xf>
    <xf numFmtId="164" fontId="0" fillId="3" borderId="0" applyProtection="1" pivotButton="0" quotePrefix="0" xfId="0">
      <protection locked="0" hidden="0"/>
    </xf>
    <xf numFmtId="168" fontId="0" fillId="0" borderId="2" pivotButton="0" quotePrefix="0" xfId="0"/>
    <xf numFmtId="0" fontId="0" fillId="0" borderId="2" pivotButton="0" quotePrefix="0" xfId="0"/>
    <xf numFmtId="4" fontId="0" fillId="3" borderId="2" applyAlignment="1" applyProtection="1" pivotButton="0" quotePrefix="0" xfId="1">
      <alignment horizontal="right"/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4" fontId="0" fillId="0" borderId="2" pivotButton="0" quotePrefix="0" xfId="0"/>
  </cellXfs>
  <cellStyles count="3">
    <cellStyle name="Normal" xfId="0" builtinId="0"/>
    <cellStyle name="Comma" xfId="1" builtinId="3"/>
    <cellStyle name="Currency" xfId="2" builtinId="4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"/>
  <sheetViews>
    <sheetView tabSelected="1" workbookViewId="0">
      <selection activeCell="C16" sqref="C16"/>
    </sheetView>
  </sheetViews>
  <sheetFormatPr baseColWidth="10" defaultRowHeight="16"/>
  <cols>
    <col width="12.6640625" customWidth="1" style="13" min="1" max="1"/>
    <col width="10.83203125" customWidth="1" style="13" min="2" max="2"/>
    <col width="61" bestFit="1" customWidth="1" style="9" min="3" max="3"/>
    <col width="17" customWidth="1" style="9" min="4" max="4"/>
    <col width="44.33203125" customWidth="1" style="9" min="5" max="5"/>
    <col width="12.1640625" bestFit="1" customWidth="1" style="9" min="6" max="6"/>
    <col width="10.83203125" customWidth="1" style="9" min="7" max="7"/>
    <col width="12.1640625" bestFit="1" customWidth="1" style="9" min="8" max="8"/>
    <col width="10.83203125" customWidth="1" style="9" min="9" max="21"/>
    <col width="10.83203125" customWidth="1" style="23" min="22" max="16384"/>
  </cols>
  <sheetData>
    <row r="1" ht="100" customHeight="1">
      <c r="A1" s="20" t="inlineStr">
        <is>
          <t>TOCONLINE MODELO DE IMPORTAÇÃO DE EXTRATOS 
Apenas recomendamos a utilização deste modelo de importação se não conseguir o ficheiro no formato oficial do banco (.xls ou .csv) e se não tiver associação direta da conta bancária.
Preencha apenas a informação que consta nas células em amarelo e não é permitido alterar a estrutura do ficheiro nem a formatação das células.</t>
        </is>
      </c>
      <c r="E1" s="27">
        <f>+IF((ROUND(D3+SUM($D$8:$D$1048576),2)=ROUND(D5,2))=TRUE,"Saldos e movimentos validados- os saldos inicial e final são coerentes com os movimentos inseridos","Saldos e movimentos inválidos - os saldos inicial e final não são coerentes com os movimentos inseridos")</f>
        <v/>
      </c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</row>
    <row r="2" ht="16" customHeight="1">
      <c r="A2" s="15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</row>
    <row r="3" ht="17" customHeight="1">
      <c r="A3" s="23" t="n"/>
      <c r="B3" s="15" t="n"/>
      <c r="C3" s="16" t="inlineStr">
        <is>
          <t>Saldo Inicial:</t>
        </is>
      </c>
      <c r="D3" s="28" t="n">
        <v>67016.8</v>
      </c>
      <c r="E3" s="19" t="inlineStr">
        <is>
          <t>"deve refletir o saldo antes do 1º movimento"</t>
        </is>
      </c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</row>
    <row r="4">
      <c r="A4" s="24" t="n"/>
      <c r="C4" s="24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</row>
    <row r="5" ht="16" customHeight="1">
      <c r="A5" s="23" t="n"/>
      <c r="B5" s="25" t="n"/>
      <c r="C5" s="26" t="inlineStr">
        <is>
          <t>Saldo Final:</t>
        </is>
      </c>
      <c r="D5" s="28" t="n">
        <v>39098.37</v>
      </c>
      <c r="E5" s="19" t="inlineStr">
        <is>
          <t>"deve refletir o saldo após o último movimemto"</t>
        </is>
      </c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</row>
    <row r="7" ht="17" customFormat="1" customHeight="1" s="23">
      <c r="A7" s="17" t="inlineStr">
        <is>
          <t>Data Mov.</t>
        </is>
      </c>
      <c r="B7" s="17" t="inlineStr">
        <is>
          <t>Data Valor</t>
        </is>
      </c>
      <c r="C7" s="17" t="inlineStr">
        <is>
          <t>Descrição do Movimento</t>
        </is>
      </c>
      <c r="D7" s="17" t="inlineStr">
        <is>
          <t>Movimento</t>
        </is>
      </c>
      <c r="E7" s="7" t="n"/>
    </row>
    <row r="8" ht="17" customHeight="1">
      <c r="A8" s="29" t="n">
        <v>45839</v>
      </c>
      <c r="B8" s="29" t="n">
        <v>45839</v>
      </c>
      <c r="C8" s="30" t="inlineStr">
        <is>
          <t>Cobran(cid:231)a Sdd Grenke Renting S.A. Adc 09442928</t>
        </is>
      </c>
      <c r="D8" s="31" t="n">
        <v>-129.15</v>
      </c>
      <c r="E8" s="32" t="n"/>
    </row>
    <row r="9">
      <c r="A9" s="29" t="n">
        <v>45839</v>
      </c>
      <c r="B9" s="29" t="n">
        <v>45839</v>
      </c>
      <c r="C9" s="30" t="inlineStr">
        <is>
          <t>Cobran(cid:231)a Sdd Clube Vii Adc 00002735119</t>
        </is>
      </c>
      <c r="D9" s="31" t="n">
        <v>-112</v>
      </c>
      <c r="E9" s="32" t="n"/>
    </row>
    <row r="10">
      <c r="A10" s="29" t="n">
        <v>45840</v>
      </c>
      <c r="B10" s="29" t="n">
        <v>45840</v>
      </c>
      <c r="C10" s="30" t="inlineStr">
        <is>
          <t>Trf Cred Sepa+ De Cbk Lisboa - Mediadores De</t>
        </is>
      </c>
      <c r="D10" s="31" t="n">
        <v>127.93</v>
      </c>
      <c r="E10" s="32" t="n"/>
    </row>
    <row r="11">
      <c r="A11" s="33" t="n">
        <v>45841</v>
      </c>
      <c r="B11" s="33" t="n">
        <v>45841</v>
      </c>
      <c r="C11" s="34" t="inlineStr">
        <is>
          <t>Cobran(cid:231)a Sdd Janela Digital Info Adc 10106645655</t>
        </is>
      </c>
      <c r="D11" s="35" t="n">
        <v>-61.5</v>
      </c>
      <c r="E11" s="32" t="n"/>
    </row>
    <row r="12">
      <c r="A12" s="33" t="n">
        <v>45842</v>
      </c>
      <c r="B12" s="33" t="n">
        <v>45842</v>
      </c>
      <c r="C12" s="34" t="inlineStr">
        <is>
          <t>Cobran(cid:231)a Sdd Redecasa - Gest O Adc</t>
        </is>
      </c>
      <c r="D12" s="35" t="n">
        <v>-12.3</v>
      </c>
      <c r="E12" s="32" t="n"/>
    </row>
    <row r="13">
      <c r="A13" s="33" t="n">
        <v>45842</v>
      </c>
      <c r="B13" s="33" t="n">
        <v>45842</v>
      </c>
      <c r="C13" s="34" t="inlineStr">
        <is>
          <t>Pag Estado Online 584999737 ReferŒncia</t>
        </is>
      </c>
      <c r="D13" s="35" t="n">
        <v>-102</v>
      </c>
      <c r="E13" s="32" t="n"/>
      <c r="F13" s="36" t="n"/>
    </row>
    <row r="14">
      <c r="A14" s="33" t="n">
        <v>45842</v>
      </c>
      <c r="B14" s="33" t="n">
        <v>45842</v>
      </c>
      <c r="C14" s="34" t="inlineStr">
        <is>
          <t>Trf Cred Sepa+ Online 585018886 P/ Catarina</t>
        </is>
      </c>
      <c r="D14" s="35" t="n">
        <v>-265.5</v>
      </c>
      <c r="E14" s="32" t="n"/>
      <c r="H14" s="37" t="n"/>
    </row>
    <row r="15">
      <c r="A15" s="33" t="n">
        <v>45842</v>
      </c>
      <c r="B15" s="33" t="n">
        <v>45842</v>
      </c>
      <c r="C15" s="34" t="inlineStr">
        <is>
          <t>Trf Cred Sepa+ Online 585019539 P/ Jovial Aplauso</t>
        </is>
      </c>
      <c r="D15" s="35" t="n">
        <v>-123</v>
      </c>
      <c r="E15" s="32" t="n"/>
    </row>
    <row r="16">
      <c r="A16" s="33" t="n">
        <v>45842</v>
      </c>
      <c r="B16" s="33" t="n">
        <v>45842</v>
      </c>
      <c r="C16" s="34" t="inlineStr">
        <is>
          <t>P/ M Andringa U Lda Online 585020042</t>
        </is>
      </c>
      <c r="D16" s="35" t="n">
        <v>-74.25</v>
      </c>
      <c r="E16" s="32" t="n"/>
    </row>
    <row r="17">
      <c r="A17" s="33" t="n">
        <v>45842</v>
      </c>
      <c r="B17" s="33" t="n">
        <v>45842</v>
      </c>
      <c r="C17" s="34" t="inlineStr">
        <is>
          <t>Pag Serv Adyen B.V. Online 585020374 12614</t>
        </is>
      </c>
      <c r="D17" s="35" t="n">
        <v>-308.72</v>
      </c>
      <c r="E17" s="32" t="n"/>
    </row>
    <row r="18">
      <c r="A18" s="33" t="n">
        <v>45842</v>
      </c>
      <c r="B18" s="33" t="n">
        <v>45842</v>
      </c>
      <c r="C18" s="34" t="inlineStr">
        <is>
          <t>Trf Cred Sepa+ Online 585020773 P/ Uber</t>
        </is>
      </c>
      <c r="D18" s="35" t="n">
        <v>-523.03</v>
      </c>
      <c r="E18" s="32" t="n"/>
    </row>
    <row r="19">
      <c r="A19" s="33" t="n">
        <v>45842</v>
      </c>
      <c r="B19" s="33" t="n">
        <v>45842</v>
      </c>
      <c r="C19" s="34" t="inlineStr">
        <is>
          <t>Trf Cred Sepa+ Online 585021197 P/ Bolt Operations</t>
        </is>
      </c>
      <c r="D19" s="35" t="n">
        <v>-49.68</v>
      </c>
      <c r="E19" s="32" t="n"/>
    </row>
    <row r="20">
      <c r="A20" s="33" t="n">
        <v>45842</v>
      </c>
      <c r="B20" s="33" t="n">
        <v>45842</v>
      </c>
      <c r="C20" s="34" t="inlineStr">
        <is>
          <t>Trf Cred Sepa+ Online 585021616 P/ Zof Lda</t>
        </is>
      </c>
      <c r="D20" s="35" t="n">
        <v>-369</v>
      </c>
      <c r="E20" s="32" t="n"/>
    </row>
    <row r="21">
      <c r="A21" s="33" t="n">
        <v>45842</v>
      </c>
      <c r="B21" s="33" t="n">
        <v>45842</v>
      </c>
      <c r="C21" s="34" t="inlineStr">
        <is>
          <t>Trf Cred Sepa+ Online 585021883 P/ Inside Looking</t>
        </is>
      </c>
      <c r="D21" s="35" t="n">
        <v>-295.2</v>
      </c>
      <c r="E21" s="32" t="n"/>
    </row>
    <row r="22">
      <c r="A22" s="33" t="n">
        <v>45842</v>
      </c>
      <c r="B22" s="33" t="n">
        <v>45842</v>
      </c>
      <c r="C22" s="34" t="inlineStr">
        <is>
          <t>Trf Cred Sepa+ Online 585022968 P/ Saude</t>
        </is>
      </c>
      <c r="D22" s="35" t="n">
        <v>-144.55</v>
      </c>
      <c r="E22" s="32" t="n"/>
    </row>
    <row r="23">
      <c r="A23" s="33" t="n">
        <v>45842</v>
      </c>
      <c r="B23" s="33" t="n">
        <v>45842</v>
      </c>
      <c r="C23" s="34" t="inlineStr">
        <is>
          <t>Trf Cred Sepa+ De Lince Real Estate Lda</t>
        </is>
      </c>
      <c r="D23" s="35" t="n">
        <v>2520</v>
      </c>
      <c r="E23" s="32" t="n"/>
    </row>
    <row r="24">
      <c r="A24" s="33" t="n">
        <v>45845</v>
      </c>
      <c r="B24" s="33" t="n">
        <v>45845</v>
      </c>
      <c r="C24" s="34" t="inlineStr">
        <is>
          <t>Cobran(cid:231)a Sdd Janela Digital Info Adc 10106645655</t>
        </is>
      </c>
      <c r="D24" s="35" t="n">
        <v>-61.5</v>
      </c>
      <c r="E24" s="32" t="n"/>
    </row>
    <row r="25">
      <c r="A25" s="33" t="n">
        <v>45848</v>
      </c>
      <c r="B25" s="33" t="n">
        <v>45848</v>
      </c>
      <c r="C25" s="34" t="inlineStr">
        <is>
          <t>Cobran(cid:231)a Sdd Janela Digital Info Adc 10106645655</t>
        </is>
      </c>
      <c r="D25" s="35" t="n">
        <v>-129.15</v>
      </c>
      <c r="E25" s="32" t="n"/>
    </row>
    <row r="26">
      <c r="A26" s="33" t="n">
        <v>45851</v>
      </c>
      <c r="B26" s="33" t="n">
        <v>45851</v>
      </c>
      <c r="C26" s="34" t="inlineStr">
        <is>
          <t>Manutencao Conta Pacote Negocios+ 14/06/2025 A</t>
        </is>
      </c>
      <c r="D26" s="35" t="n">
        <v>-13.95</v>
      </c>
      <c r="E26" s="32" t="n"/>
    </row>
    <row r="27">
      <c r="A27" s="33" t="n">
        <v>45851</v>
      </c>
      <c r="B27" s="33" t="n">
        <v>45851</v>
      </c>
      <c r="C27" s="34" t="inlineStr">
        <is>
          <t>Imposto Do Selo Sobre Manuten(cid:231)ªo De Conta</t>
        </is>
      </c>
      <c r="D27" s="35" t="n">
        <v>-0.5600000000000001</v>
      </c>
      <c r="E27" s="32" t="n"/>
    </row>
    <row r="28">
      <c r="A28" s="33" t="n">
        <v>45852</v>
      </c>
      <c r="B28" s="33" t="n">
        <v>45852</v>
      </c>
      <c r="C28" s="34" t="inlineStr">
        <is>
          <t>Trf Cred Sepa+ Online 586955259 P/ Maria Bruno</t>
        </is>
      </c>
      <c r="D28" s="35" t="n">
        <v>-239.62</v>
      </c>
      <c r="E28" s="32" t="n"/>
    </row>
    <row r="29">
      <c r="A29" s="33" t="n">
        <v>45852</v>
      </c>
      <c r="B29" s="33" t="n">
        <v>45852</v>
      </c>
      <c r="C29" s="34" t="inlineStr">
        <is>
          <t>Pag Serv Vodafone Portugal Co Online 586955837</t>
        </is>
      </c>
      <c r="D29" s="35" t="n">
        <v>-366.84</v>
      </c>
      <c r="E29" s="32" t="n"/>
    </row>
    <row r="30">
      <c r="A30" s="33" t="n">
        <v>45852</v>
      </c>
      <c r="B30" s="33" t="n">
        <v>45852</v>
      </c>
      <c r="C30" s="34" t="inlineStr">
        <is>
          <t>Pag Serv Edp Comercial-Comerc Online 586956088</t>
        </is>
      </c>
      <c r="D30" s="35" t="n">
        <v>-296.16</v>
      </c>
      <c r="E30" s="32" t="n"/>
    </row>
    <row r="31">
      <c r="A31" s="33" t="n">
        <v>45852</v>
      </c>
      <c r="B31" s="33" t="n">
        <v>45852</v>
      </c>
      <c r="C31" s="34" t="inlineStr">
        <is>
          <t>Trf Cred Sepa+ Online 586956574 P/ Knowledge</t>
        </is>
      </c>
      <c r="D31" s="38" t="n">
        <v>-123</v>
      </c>
    </row>
    <row r="32">
      <c r="A32" s="33" t="n">
        <v>45852</v>
      </c>
      <c r="B32" s="33" t="n">
        <v>45852</v>
      </c>
      <c r="C32" s="34" t="inlineStr">
        <is>
          <t>Trf Cred Sepa+ Online 586956841 P/ Idealista Lda</t>
        </is>
      </c>
      <c r="D32" s="38" t="n">
        <v>-3379.18</v>
      </c>
    </row>
    <row r="33">
      <c r="A33" s="33" t="n">
        <v>45852</v>
      </c>
      <c r="B33" s="33" t="n">
        <v>45852</v>
      </c>
      <c r="C33" s="34" t="inlineStr">
        <is>
          <t>Trf Cred Sepa+ Online 586957243 P/ Idealista Lda</t>
        </is>
      </c>
      <c r="D33" s="38" t="n">
        <v>-35.67</v>
      </c>
    </row>
    <row r="34">
      <c r="A34" s="33" t="n">
        <v>45852</v>
      </c>
      <c r="B34" s="33" t="n">
        <v>45852</v>
      </c>
      <c r="C34" s="34" t="inlineStr">
        <is>
          <t>Trf Cred Sepa+ De Lince Real Estate Lda</t>
        </is>
      </c>
      <c r="D34" s="38" t="n">
        <v>1026</v>
      </c>
    </row>
    <row r="35">
      <c r="A35" s="33" t="n">
        <v>45853</v>
      </c>
      <c r="B35" s="33" t="n">
        <v>45853</v>
      </c>
      <c r="C35" s="34" t="inlineStr">
        <is>
          <t>Trf Cred Sepa+ Online 587224428 P/ Atlantic</t>
        </is>
      </c>
      <c r="D35" s="38" t="n">
        <v>-1968</v>
      </c>
    </row>
    <row r="36">
      <c r="A36" s="33" t="n">
        <v>45854</v>
      </c>
      <c r="B36" s="33" t="n">
        <v>45854</v>
      </c>
      <c r="C36" s="34" t="inlineStr">
        <is>
          <t>Cobran(cid:231)a Sdd Juvex Equipamentos Adc</t>
        </is>
      </c>
      <c r="D36" s="38" t="n">
        <v>-26.53</v>
      </c>
    </row>
    <row r="37">
      <c r="A37" s="33" t="n">
        <v>45856</v>
      </c>
      <c r="B37" s="33" t="n">
        <v>45856</v>
      </c>
      <c r="C37" s="34" t="inlineStr">
        <is>
          <t>Trf Cred Sepa+ Online 587844923 P/ Cecilia Lopes</t>
        </is>
      </c>
      <c r="D37" s="38" t="n">
        <v>-120</v>
      </c>
    </row>
    <row r="38">
      <c r="A38" s="33" t="n">
        <v>45856</v>
      </c>
      <c r="B38" s="33" t="n">
        <v>45856</v>
      </c>
      <c r="C38" s="34" t="inlineStr">
        <is>
          <t>Trf Cred Sepa+ Online 587844927 P/ Lx Gest</t>
        </is>
      </c>
      <c r="D38" s="38" t="n">
        <v>-412.05</v>
      </c>
    </row>
    <row r="39">
      <c r="A39" s="33" t="n">
        <v>45856</v>
      </c>
      <c r="B39" s="33" t="n">
        <v>45856</v>
      </c>
      <c r="C39" s="34" t="inlineStr">
        <is>
          <t>Pag Estado Online 587845527 ReferŒncia</t>
        </is>
      </c>
      <c r="D39" s="38" t="n">
        <v>-189</v>
      </c>
    </row>
    <row r="40">
      <c r="A40" s="33" t="n">
        <v>45856</v>
      </c>
      <c r="B40" s="33" t="n">
        <v>45856</v>
      </c>
      <c r="C40" s="34" t="inlineStr">
        <is>
          <t>Pag Tsu Online 587845866 510442374 062025</t>
        </is>
      </c>
      <c r="D40" s="38" t="n">
        <v>-556</v>
      </c>
    </row>
    <row r="41">
      <c r="A41" s="33" t="n">
        <v>45859</v>
      </c>
      <c r="B41" s="33" t="n">
        <v>45859</v>
      </c>
      <c r="C41" s="34" t="inlineStr">
        <is>
          <t>Pagamento De Conta CrØdito 9016564</t>
        </is>
      </c>
      <c r="D41" s="38" t="n">
        <v>-1866.53</v>
      </c>
    </row>
    <row r="42">
      <c r="A42" s="33" t="n">
        <v>45859</v>
      </c>
      <c r="B42" s="33" t="n">
        <v>45859</v>
      </c>
      <c r="C42" s="34" t="inlineStr">
        <is>
          <t>Pagamento Transferencia De Novo Banco Bonif</t>
        </is>
      </c>
      <c r="D42" s="38" t="n">
        <v>7.7</v>
      </c>
    </row>
    <row r="43">
      <c r="A43" s="33" t="n">
        <v>45859</v>
      </c>
      <c r="B43" s="33" t="n">
        <v>45859</v>
      </c>
      <c r="C43" s="34" t="inlineStr">
        <is>
          <t>Pagamento Transferencia De Novo Banco Bonif</t>
        </is>
      </c>
      <c r="D43" s="38" t="n">
        <v>7.7</v>
      </c>
    </row>
    <row r="44">
      <c r="A44" s="33" t="n">
        <v>45859</v>
      </c>
      <c r="B44" s="33" t="n">
        <v>45859</v>
      </c>
      <c r="C44" s="34" t="inlineStr">
        <is>
          <t>Pagamento Transferencia De Novo Banco Bonif</t>
        </is>
      </c>
      <c r="D44" s="38" t="n">
        <v>13.95</v>
      </c>
    </row>
    <row r="45">
      <c r="A45" s="33" t="n">
        <v>45860</v>
      </c>
      <c r="B45" s="33" t="n">
        <v>45860</v>
      </c>
      <c r="C45" s="34" t="inlineStr">
        <is>
          <t>Cobran(cid:231)a Sdd Janela Digital Info Adc 10106645655</t>
        </is>
      </c>
      <c r="D45" s="38" t="n">
        <v>-65.79000000000001</v>
      </c>
    </row>
    <row r="46">
      <c r="A46" s="33" t="n">
        <v>45866</v>
      </c>
      <c r="B46" s="33" t="n">
        <v>45866</v>
      </c>
      <c r="C46" s="34" t="inlineStr">
        <is>
          <t>Trf Cred Sepa+ Online 589489821 P/ Pecunia Cards</t>
        </is>
      </c>
      <c r="D46" s="38" t="n">
        <v>-214.2</v>
      </c>
    </row>
    <row r="47">
      <c r="A47" s="33" t="n">
        <v>45866</v>
      </c>
      <c r="B47" s="33" t="n">
        <v>45866</v>
      </c>
      <c r="C47" s="34" t="inlineStr">
        <is>
          <t>Pagamento Salarios 1 Ordens Nis0142882520901</t>
        </is>
      </c>
      <c r="D47" s="38" t="n">
        <v>-2852.5</v>
      </c>
    </row>
    <row r="48">
      <c r="A48" s="33" t="n">
        <v>45866</v>
      </c>
      <c r="B48" s="33" t="n">
        <v>45866</v>
      </c>
      <c r="C48" s="34" t="inlineStr">
        <is>
          <t>Comissªo S/ Pagamento 1 Ordens Nis</t>
        </is>
      </c>
      <c r="D48" s="38" t="n">
        <v>-0.77</v>
      </c>
    </row>
    <row r="49">
      <c r="A49" s="33" t="n">
        <v>45866</v>
      </c>
      <c r="B49" s="33" t="n">
        <v>45866</v>
      </c>
      <c r="C49" s="34" t="inlineStr">
        <is>
          <t>Imposto Selo S/ Comissªo Pagamento Ordens Nis</t>
        </is>
      </c>
      <c r="D49" s="38" t="n">
        <v>-0.03</v>
      </c>
    </row>
    <row r="50">
      <c r="A50" s="33" t="n">
        <v>45867</v>
      </c>
      <c r="B50" s="33" t="n">
        <v>45867</v>
      </c>
      <c r="C50" s="34" t="inlineStr">
        <is>
          <t>Cobran(cid:231)a Sdd Janela Digital Info Adc 10106645655</t>
        </is>
      </c>
      <c r="D50" s="38" t="n">
        <v>-61.5</v>
      </c>
    </row>
    <row r="51">
      <c r="A51" s="33" t="n">
        <v>45867</v>
      </c>
      <c r="B51" s="33" t="n">
        <v>45867</v>
      </c>
      <c r="C51" s="34" t="inlineStr">
        <is>
          <t>Cobran(cid:231)a Sdd Redecasa - Gest O Adc</t>
        </is>
      </c>
      <c r="D51" s="38" t="n">
        <v>-12.3</v>
      </c>
    </row>
    <row r="52">
      <c r="A52" s="33" t="n">
        <v>45868</v>
      </c>
      <c r="B52" s="33" t="n">
        <v>45868</v>
      </c>
      <c r="C52" s="34" t="inlineStr">
        <is>
          <t>Pag Estado Online 590086229 ReferŒncia</t>
        </is>
      </c>
      <c r="D52" s="38" t="n">
        <v>-15981</v>
      </c>
    </row>
    <row r="53">
      <c r="A53" s="33" t="n">
        <v>45868</v>
      </c>
      <c r="B53" s="33" t="n">
        <v>45868</v>
      </c>
      <c r="C53" s="34" t="inlineStr">
        <is>
          <t>Pag Serv Instituto Registos N Online 590086626</t>
        </is>
      </c>
      <c r="D53" s="38" t="n">
        <v>-80</v>
      </c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Gp6Gze+tRbvHl1SjYZ8fTg==" formatRows="1" sort="1" spinCount="100000" hashValue="oTdeagE7ZQDQW71eQEYNz4zSP3w5xBY+HmHx1Z7UOxVdifh5So0HRKzqhznLA6gF3szoNDZdpvxGIvIJ3MyppQ=="/>
  <mergeCells count="2">
    <mergeCell ref="A4:B4"/>
    <mergeCell ref="A1:D1"/>
  </mergeCells>
  <conditionalFormatting sqref="E1">
    <cfRule type="containsText" priority="1" operator="containsText" dxfId="1" text="inválidos">
      <formula>NOT(ISERROR(SEARCH("inválidos",E1)))</formula>
    </cfRule>
    <cfRule type="containsText" priority="2" operator="containsText" dxfId="0" text="saldos e movimentos validados">
      <formula>NOT(ISERROR(SEARCH("saldos e movimentos validados",E1)))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Toconline</dc:creator>
  <dcterms:created xsi:type="dcterms:W3CDTF">2021-02-24T15:08:15Z</dcterms:created>
  <dcterms:modified xsi:type="dcterms:W3CDTF">2026-05-20T11:27:16Z</dcterms:modified>
  <cp:lastModifiedBy>Toconline</cp:lastModifiedBy>
</cp:coreProperties>
</file>